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<sst xmlns="http://schemas.openxmlformats.org/spreadsheetml/2006/main" count="16" uniqueCount="16">
  <si>
    <t>Roll No</t>
  </si>
  <si>
    <t>Student Name</t>
  </si>
  <si>
    <t>English</t>
  </si>
  <si>
    <t>Maths</t>
  </si>
  <si>
    <t>Science</t>
  </si>
  <si>
    <t>Total</t>
  </si>
  <si>
    <t>Average</t>
  </si>
  <si>
    <t>Result</t>
  </si>
  <si>
    <t>Ravi</t>
  </si>
  <si>
    <t>Sita</t>
  </si>
  <si>
    <t>Arun</t>
  </si>
  <si>
    <t>Priya</t>
  </si>
  <si>
    <t>Kiran</t>
  </si>
  <si>
    <t>Anjali</t>
  </si>
  <si>
    <t>Rahul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</si>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</sst>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Result</a:t>
            </a:r>
            <a:r>
              <a:rPr lang="en-US" baseline="0"/>
              <a:t>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Sheet1!$A$2:$B$2</c:f>
              <c:strCache>
                <c:ptCount val="2"/>
                <c:pt idx="0">
                  <c:v>101</c:v>
                </c:pt>
                <c:pt idx="1">
                  <c:v>Ravi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Sheet1!$C$2:$H$2</c:f>
              <c:numCache>
                <c:formatCode>General</c:formatCode>
                <c:ptCount val="6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235</c:v>
                </c:pt>
                <c:pt idx="4">
                  <c:v>117.5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6-4490-A253-CA1B4258CCBB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102</c:v>
                </c:pt>
                <c:pt idx="1">
                  <c:v>Sita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Sheet1!$C$3:$H$3</c:f>
              <c:numCache>
                <c:formatCode>General</c:formatCode>
                <c:ptCount val="6"/>
                <c:pt idx="0">
                  <c:v>88</c:v>
                </c:pt>
                <c:pt idx="1">
                  <c:v>92</c:v>
                </c:pt>
                <c:pt idx="2">
                  <c:v>85</c:v>
                </c:pt>
                <c:pt idx="3">
                  <c:v>265</c:v>
                </c:pt>
                <c:pt idx="4">
                  <c:v>132.5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6-4490-A253-CA1B4258CCBB}"/>
            </c:ext>
          </c:extLst>
        </c:ser>
        <c:ser>
          <c:idx val="2"/>
          <c:order val="2"/>
          <c:tx>
            <c:strRef>
              <c:f>Sheet1!$A$4:$B$4</c:f>
              <c:strCache>
                <c:ptCount val="2"/>
                <c:pt idx="0">
                  <c:v>103</c:v>
                </c:pt>
                <c:pt idx="1">
                  <c:v>Arun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Sheet1!$C$4:$H$4</c:f>
              <c:numCache>
                <c:formatCode>General</c:formatCode>
                <c:ptCount val="6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210</c:v>
                </c:pt>
                <c:pt idx="4">
                  <c:v>105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6-4490-A253-CA1B4258CCBB}"/>
            </c:ext>
          </c:extLst>
        </c:ser>
        <c:ser>
          <c:idx val="3"/>
          <c:order val="3"/>
          <c:tx>
            <c:strRef>
              <c:f>Sheet1!$A$5:$B$5</c:f>
              <c:strCache>
                <c:ptCount val="2"/>
                <c:pt idx="0">
                  <c:v>104</c:v>
                </c:pt>
                <c:pt idx="1">
                  <c:v>Priya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90</c:v>
                </c:pt>
                <c:pt idx="1">
                  <c:v>86</c:v>
                </c:pt>
                <c:pt idx="2">
                  <c:v>94</c:v>
                </c:pt>
                <c:pt idx="3">
                  <c:v>270</c:v>
                </c:pt>
                <c:pt idx="4">
                  <c:v>135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36-4490-A253-CA1B4258CCBB}"/>
            </c:ext>
          </c:extLst>
        </c:ser>
        <c:ser>
          <c:idx val="4"/>
          <c:order val="4"/>
          <c:tx>
            <c:strRef>
              <c:f>Sheet1!$A$6:$B$6</c:f>
              <c:strCache>
                <c:ptCount val="2"/>
                <c:pt idx="0">
                  <c:v>105</c:v>
                </c:pt>
                <c:pt idx="1">
                  <c:v>Kiran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45</c:v>
                </c:pt>
                <c:pt idx="1">
                  <c:v>55</c:v>
                </c:pt>
                <c:pt idx="2">
                  <c:v>48</c:v>
                </c:pt>
                <c:pt idx="3">
                  <c:v>148</c:v>
                </c:pt>
                <c:pt idx="4">
                  <c:v>74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36-4490-A253-CA1B4258CCBB}"/>
            </c:ext>
          </c:extLst>
        </c:ser>
        <c:ser>
          <c:idx val="5"/>
          <c:order val="5"/>
          <c:tx>
            <c:strRef>
              <c:f>Sheet1!$A$7:$B$7</c:f>
              <c:strCache>
                <c:ptCount val="2"/>
                <c:pt idx="0">
                  <c:v>106</c:v>
                </c:pt>
                <c:pt idx="1">
                  <c:v>Anjali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Sheet1!$C$7:$H$7</c:f>
              <c:numCache>
                <c:formatCode>General</c:formatCode>
                <c:ptCount val="6"/>
                <c:pt idx="0">
                  <c:v>82</c:v>
                </c:pt>
                <c:pt idx="1">
                  <c:v>89</c:v>
                </c:pt>
                <c:pt idx="2">
                  <c:v>78</c:v>
                </c:pt>
                <c:pt idx="3">
                  <c:v>249</c:v>
                </c:pt>
                <c:pt idx="4">
                  <c:v>124.5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36-4490-A253-CA1B4258CCBB}"/>
            </c:ext>
          </c:extLst>
        </c:ser>
        <c:ser>
          <c:idx val="6"/>
          <c:order val="6"/>
          <c:tx>
            <c:strRef>
              <c:f>Sheet1!$A$8:$B$8</c:f>
              <c:strCache>
                <c:ptCount val="2"/>
                <c:pt idx="0">
                  <c:v>107</c:v>
                </c:pt>
                <c:pt idx="1">
                  <c:v>Rahul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Sheet1!$C$8:$H$8</c:f>
              <c:numCache>
                <c:formatCode>General</c:formatCode>
                <c:ptCount val="6"/>
                <c:pt idx="0">
                  <c:v>35</c:v>
                </c:pt>
                <c:pt idx="1">
                  <c:v>42</c:v>
                </c:pt>
                <c:pt idx="2">
                  <c:v>38</c:v>
                </c:pt>
                <c:pt idx="3">
                  <c:v>115</c:v>
                </c:pt>
                <c:pt idx="4">
                  <c:v>57.5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36-4490-A253-CA1B4258CCBB}"/>
            </c:ext>
          </c:extLst>
        </c:ser>
        <c:ser>
          <c:idx val="7"/>
          <c:order val="7"/>
          <c:tx>
            <c:strRef>
              <c:f>Sheet1!$A$9:$B$9</c:f>
              <c:strCache>
                <c:ptCount val="2"/>
                <c:pt idx="0">
                  <c:v>108</c:v>
                </c:pt>
                <c:pt idx="1">
                  <c:v>Divya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Sheet1!$C$1:$H$1</c:f>
              <c:strCache>
                <c:ptCount val="6"/>
                <c:pt idx="0">
                  <c:v>English</c:v>
                </c:pt>
                <c:pt idx="1">
                  <c:v>Maths</c:v>
                </c:pt>
                <c:pt idx="2">
                  <c:v>Science</c:v>
                </c:pt>
                <c:pt idx="3">
                  <c:v>Total</c:v>
                </c:pt>
                <c:pt idx="4">
                  <c:v>Average</c:v>
                </c:pt>
                <c:pt idx="5">
                  <c:v>Result</c:v>
                </c:pt>
              </c:strCache>
            </c:strRef>
          </c:cat>
          <c:val>
            <c:numRef>
              <c:f>Sheet1!$C$9:$H$9</c:f>
              <c:numCache>
                <c:formatCode>General</c:formatCode>
                <c:ptCount val="6"/>
                <c:pt idx="0">
                  <c:v>95</c:v>
                </c:pt>
                <c:pt idx="1">
                  <c:v>93</c:v>
                </c:pt>
                <c:pt idx="2">
                  <c:v>89</c:v>
                </c:pt>
                <c:pt idx="3">
                  <c:v>277</c:v>
                </c:pt>
                <c:pt idx="4">
                  <c:v>138.5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36-4490-A253-CA1B4258C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1421664"/>
        <c:axId val="811417504"/>
      </c:barChart>
      <c:catAx>
        <c:axId val="8114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17504"/>
        <c:crosses val="autoZero"/>
        <c:auto val="1"/>
        <c:lblAlgn val="ctr"/>
        <c:lblOffset val="100"/>
        <c:noMultiLvlLbl val="0"/>
      </c:catAx>
      <c:valAx>
        <c:axId val="8114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21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5</xdr:row>
      <xdr:rowOff>180975</xdr:rowOff>
    </xdr:from>
    <xdr:to>
      <xdr:col>16</xdr:col>
      <xdr:colOff>314325</xdr:colOff>
      <xdr:row>20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12" sqref="G12"/>
    </sheetView>
  </sheetViews>
  <sheetFormatPr defaultRowHeight="15" x14ac:dyDescent="0.25"/>
  <cols>
    <col min="1" max="1" width="15.7109375" customWidth="1"/>
    <col min="2" max="2" width="16.28515625" customWidth="1"/>
    <col min="3" max="3" width="11" customWidth="1"/>
  </cols>
  <sheetData>
    <row r="1" spans="1:9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6" t="s">
        <v>7</v>
      </c>
      <c r="I1" s="2"/>
    </row>
    <row r="2" spans="1:9" x14ac:dyDescent="0.25">
      <c r="A2" s="1">
        <v>101</v>
      </c>
      <c r="B2" s="1" t="s">
        <v>8</v>
      </c>
      <c r="C2" s="1">
        <v>78</v>
      </c>
      <c r="D2" s="1">
        <v>85</v>
      </c>
      <c r="E2" s="1">
        <v>72</v>
      </c>
      <c r="F2" s="5">
        <f>SUM(C2:E2)</f>
        <v>235</v>
      </c>
      <c r="G2" s="5">
        <f>AVERAGE(C2:F2)</f>
        <v>117.5</v>
      </c>
      <c r="H2" s="7" t="str">
        <f>IF(G2&gt;=100,"Pass","Fail")</f>
        <v>Pass</v>
      </c>
    </row>
    <row r="3" spans="1:9" x14ac:dyDescent="0.25">
      <c r="A3" s="1">
        <v>102</v>
      </c>
      <c r="B3" s="1" t="s">
        <v>9</v>
      </c>
      <c r="C3" s="1">
        <v>88</v>
      </c>
      <c r="D3" s="1">
        <v>92</v>
      </c>
      <c r="E3" s="1">
        <v>85</v>
      </c>
      <c r="F3" s="5">
        <f t="shared" ref="F3:F9" si="0">SUM(C3:E3)</f>
        <v>265</v>
      </c>
      <c r="G3" s="5">
        <f t="shared" ref="G3:G9" si="1">AVERAGE(C3:F3)</f>
        <v>132.5</v>
      </c>
      <c r="H3" s="7" t="str">
        <f t="shared" ref="H3:H9" si="2">IF(G3&gt;=100,"Pass","Fail")</f>
        <v>Pass</v>
      </c>
    </row>
    <row r="4" spans="1:9" x14ac:dyDescent="0.25">
      <c r="A4" s="1">
        <v>103</v>
      </c>
      <c r="B4" s="1" t="s">
        <v>10</v>
      </c>
      <c r="C4" s="1">
        <v>65</v>
      </c>
      <c r="D4" s="1">
        <v>70</v>
      </c>
      <c r="E4" s="1">
        <v>75</v>
      </c>
      <c r="F4" s="5">
        <f t="shared" si="0"/>
        <v>210</v>
      </c>
      <c r="G4" s="5">
        <f t="shared" si="1"/>
        <v>105</v>
      </c>
      <c r="H4" s="7" t="str">
        <f t="shared" si="2"/>
        <v>Pass</v>
      </c>
    </row>
    <row r="5" spans="1:9" x14ac:dyDescent="0.25">
      <c r="A5" s="1">
        <v>104</v>
      </c>
      <c r="B5" s="1" t="s">
        <v>11</v>
      </c>
      <c r="C5" s="1">
        <v>90</v>
      </c>
      <c r="D5" s="1">
        <v>86</v>
      </c>
      <c r="E5" s="1">
        <v>94</v>
      </c>
      <c r="F5" s="5">
        <f t="shared" si="0"/>
        <v>270</v>
      </c>
      <c r="G5" s="5">
        <f t="shared" si="1"/>
        <v>135</v>
      </c>
      <c r="H5" s="7" t="str">
        <f t="shared" si="2"/>
        <v>Pass</v>
      </c>
    </row>
    <row r="6" spans="1:9" x14ac:dyDescent="0.25">
      <c r="A6" s="1">
        <v>105</v>
      </c>
      <c r="B6" s="1" t="s">
        <v>12</v>
      </c>
      <c r="C6" s="1">
        <v>45</v>
      </c>
      <c r="D6" s="1">
        <v>55</v>
      </c>
      <c r="E6" s="1">
        <v>48</v>
      </c>
      <c r="F6" s="5">
        <f t="shared" si="0"/>
        <v>148</v>
      </c>
      <c r="G6" s="5">
        <f t="shared" si="1"/>
        <v>74</v>
      </c>
      <c r="H6" s="7" t="str">
        <f t="shared" si="2"/>
        <v>Fail</v>
      </c>
    </row>
    <row r="7" spans="1:9" x14ac:dyDescent="0.25">
      <c r="A7" s="1">
        <v>106</v>
      </c>
      <c r="B7" s="1" t="s">
        <v>13</v>
      </c>
      <c r="C7" s="1">
        <v>82</v>
      </c>
      <c r="D7" s="1">
        <v>89</v>
      </c>
      <c r="E7" s="1">
        <v>78</v>
      </c>
      <c r="F7" s="5">
        <f t="shared" si="0"/>
        <v>249</v>
      </c>
      <c r="G7" s="5">
        <f t="shared" si="1"/>
        <v>124.5</v>
      </c>
      <c r="H7" s="7" t="str">
        <f t="shared" si="2"/>
        <v>Pass</v>
      </c>
    </row>
    <row r="8" spans="1:9" x14ac:dyDescent="0.25">
      <c r="A8" s="1">
        <v>107</v>
      </c>
      <c r="B8" s="1" t="s">
        <v>14</v>
      </c>
      <c r="C8" s="1">
        <v>35</v>
      </c>
      <c r="D8" s="1">
        <v>42</v>
      </c>
      <c r="E8" s="1">
        <v>38</v>
      </c>
      <c r="F8" s="5">
        <f t="shared" si="0"/>
        <v>115</v>
      </c>
      <c r="G8" s="5">
        <f t="shared" si="1"/>
        <v>57.5</v>
      </c>
      <c r="H8" s="7" t="str">
        <f t="shared" si="2"/>
        <v>Fail</v>
      </c>
    </row>
    <row r="9" spans="1:9" x14ac:dyDescent="0.25">
      <c r="A9" s="1">
        <v>108</v>
      </c>
      <c r="B9" s="1" t="s">
        <v>15</v>
      </c>
      <c r="C9" s="1">
        <v>95</v>
      </c>
      <c r="D9" s="1">
        <v>93</v>
      </c>
      <c r="E9" s="1">
        <v>89</v>
      </c>
      <c r="F9" s="5">
        <f t="shared" si="0"/>
        <v>277</v>
      </c>
      <c r="G9" s="5">
        <f t="shared" si="1"/>
        <v>138.5</v>
      </c>
      <c r="H9" s="7" t="str">
        <f t="shared" si="2"/>
        <v>Pass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2026-10-07T07:58:16Z</dcterms:created>
  <dcterms:modified xsi:type="dcterms:W3CDTF">2026-10-07T08:14:28Z</dcterms:modified>
</cp:coreProperties>
</file>